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\OneDrive\Desktop\Ingegneria Informatica\Tirocinio\"/>
    </mc:Choice>
  </mc:AlternateContent>
  <xr:revisionPtr revIDLastSave="0" documentId="13_ncr:1_{6460D944-4E16-4D89-9FAC-D37C33ECE884}" xr6:coauthVersionLast="47" xr6:coauthVersionMax="47" xr10:uidLastSave="{00000000-0000-0000-0000-000000000000}"/>
  <bookViews>
    <workbookView xWindow="-108" yWindow="-108" windowWidth="23256" windowHeight="12456" xr2:uid="{2FC6143C-BCFE-4F64-9B14-903EABC673F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6" i="1"/>
  <c r="I7" i="1"/>
  <c r="I8" i="1"/>
  <c r="F9" i="1"/>
  <c r="I9" i="1"/>
  <c r="F7" i="1"/>
  <c r="I6" i="1"/>
  <c r="I3" i="1"/>
  <c r="I4" i="1"/>
  <c r="I5" i="1"/>
  <c r="I2" i="1"/>
  <c r="F3" i="1"/>
  <c r="F4" i="1"/>
  <c r="F5" i="1"/>
  <c r="F2" i="1"/>
</calcChain>
</file>

<file path=xl/sharedStrings.xml><?xml version="1.0" encoding="utf-8"?>
<sst xmlns="http://schemas.openxmlformats.org/spreadsheetml/2006/main" count="37" uniqueCount="22">
  <si>
    <t>Colonna1</t>
  </si>
  <si>
    <t>accesso al singolo dato senza ottimizzazione</t>
  </si>
  <si>
    <t>accesso a tutti i dati senza ottimizzazione</t>
  </si>
  <si>
    <t>Diff CPU</t>
  </si>
  <si>
    <t>Diff memoria</t>
  </si>
  <si>
    <t>Memoria prima (byte)</t>
  </si>
  <si>
    <t>Memoria dopo (byte)</t>
  </si>
  <si>
    <t>accesso al singolo dato con Efficient Deployment</t>
  </si>
  <si>
    <t>accesso a tutti i dati con Efficient Deployment</t>
  </si>
  <si>
    <t>accesso al singolo dato con CDS</t>
  </si>
  <si>
    <t>accesso a tutti i dati con CDS</t>
  </si>
  <si>
    <t>accesso al singolo dato con AOT</t>
  </si>
  <si>
    <t>accesso a tutti i dati con AOT</t>
  </si>
  <si>
    <t>CPU prima (ms)</t>
  </si>
  <si>
    <t>CPU dopo (ms)</t>
  </si>
  <si>
    <t>Tempo avvio (ms)</t>
  </si>
  <si>
    <t>Tempo di risposta lato server (ms)</t>
  </si>
  <si>
    <t>dim artefatto (kB)</t>
  </si>
  <si>
    <t>immagine docker standard</t>
  </si>
  <si>
    <t>Riduzione immagine e container con Jib</t>
  </si>
  <si>
    <t>-</t>
  </si>
  <si>
    <t>tempo di compilazione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</si>
</sst>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8" formatCode="#,##0.0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165" fontId="0" fillId="0" borderId="0" xfId="1" applyNumberFormat="1" applyFont="1"/>
    <xf numFmtId="3" fontId="0" fillId="0" borderId="0" xfId="0" applyNumberFormat="1"/>
    <xf numFmtId="168" fontId="0" fillId="0" borderId="0" xfId="0" applyNumberFormat="1"/>
  </cellXfs>
  <cellStyles count="2">
    <cellStyle name="Migliaia" xfId="1" builtinId="3"/>
    <cellStyle name="Normale" xfId="0" builtinId="0"/>
  </cellStyles>
  <dxfs count="7"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0E9DA1-86BA-49C8-90B3-2B78F0C56E59}" name="Tabella1" displayName="Tabella1" ref="A1:K11" totalsRowShown="0">
  <autoFilter ref="A1:K11" xr:uid="{680E9DA1-86BA-49C8-90B3-2B78F0C56E5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2D56BB6D-B47C-4B5D-9A3A-693C4299090C}" name="Colonna1"/>
    <tableColumn id="2" xr3:uid="{EB74429B-4BB6-4FEB-8BFA-36A9D7D4180A}" name="Tempo avvio (ms)"/>
    <tableColumn id="3" xr3:uid="{1C996A05-56CE-4BE0-86F5-F1D4E0C6A644}" name="Tempo di risposta lato server (ms)"/>
    <tableColumn id="4" xr3:uid="{1EFE22B4-B7DD-4DBE-AA4D-C8C40874A686}" name="CPU prima (ms)" dataDxfId="6" dataCellStyle="Migliaia"/>
    <tableColumn id="5" xr3:uid="{242E55E0-43B7-4895-BE9F-8B91351823A4}" name="CPU dopo (ms)" dataDxfId="5" dataCellStyle="Migliaia"/>
    <tableColumn id="6" xr3:uid="{BE3C9BFC-EE1A-45FD-A540-B23FA45DEFB7}" name="Diff CPU" dataDxfId="4" dataCellStyle="Migliaia">
      <calculatedColumnFormula>E2-D2</calculatedColumnFormula>
    </tableColumn>
    <tableColumn id="7" xr3:uid="{73A8CE7C-F397-46FD-AC8F-74348C34FFA4}" name="Memoria prima (byte)" dataDxfId="3" dataCellStyle="Migliaia"/>
    <tableColumn id="8" xr3:uid="{01EBD1D1-AEE4-4A9C-A0F2-9AA28A253833}" name="Memoria dopo (byte)" dataDxfId="2" dataCellStyle="Migliaia"/>
    <tableColumn id="9" xr3:uid="{18D496A7-275A-4AE8-897E-504D1D1F5AC1}" name="Diff memoria" dataDxfId="1" dataCellStyle="Migliaia">
      <calculatedColumnFormula>Tabella1[[#This Row],[Memoria dopo (byte)]]-Tabella1[[#This Row],[Memoria prima (byte)]]</calculatedColumnFormula>
    </tableColumn>
    <tableColumn id="10" xr3:uid="{E9D314E0-BB77-4F77-B838-9DCF6F3B8ECC}" name="tempo di compilazione (s)"/>
    <tableColumn id="11" xr3:uid="{FBCFD10E-6146-4933-A95B-3ACBB9BB03C0}" name="dim artefatto (kB)" dataDxfId="0" dataCellStyle="Miglia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91983-7865-4B69-B779-802FD19FAF74}">
  <dimension ref="A1:K11"/>
  <sheetViews>
    <sheetView tabSelected="1" zoomScale="110" zoomScaleNormal="110" workbookViewId="0">
      <selection activeCell="K12" sqref="K12"/>
    </sheetView>
  </sheetViews>
  <sheetFormatPr defaultRowHeight="14.4" x14ac:dyDescent="0.3"/>
  <cols>
    <col min="1" max="1" width="50.44140625" bestFit="1" customWidth="1"/>
    <col min="2" max="2" width="15.6640625" bestFit="1" customWidth="1"/>
    <col min="3" max="3" width="29.5546875" bestFit="1" customWidth="1"/>
    <col min="4" max="4" width="14.77734375" customWidth="1"/>
    <col min="5" max="5" width="13.88671875" customWidth="1"/>
    <col min="6" max="6" width="10.6640625" customWidth="1"/>
    <col min="7" max="7" width="19.6640625" customWidth="1"/>
    <col min="8" max="8" width="17.77734375" customWidth="1"/>
    <col min="9" max="9" width="14.5546875" customWidth="1"/>
    <col min="10" max="10" width="23" bestFit="1" customWidth="1"/>
    <col min="11" max="11" width="15.77734375" bestFit="1" customWidth="1"/>
    <col min="12" max="12" width="22" customWidth="1"/>
  </cols>
  <sheetData>
    <row r="1" spans="1:11" x14ac:dyDescent="0.3">
      <c r="A1" t="s">
        <v>0</v>
      </c>
      <c r="B1" t="s">
        <v>15</v>
      </c>
      <c r="C1" t="s">
        <v>16</v>
      </c>
      <c r="D1" t="s">
        <v>13</v>
      </c>
      <c r="E1" t="s">
        <v>14</v>
      </c>
      <c r="F1" t="s">
        <v>3</v>
      </c>
      <c r="G1" t="s">
        <v>5</v>
      </c>
      <c r="H1" t="s">
        <v>6</v>
      </c>
      <c r="I1" t="s">
        <v>4</v>
      </c>
      <c r="J1" t="s">
        <v>21</v>
      </c>
      <c r="K1" t="s">
        <v>17</v>
      </c>
    </row>
    <row r="2" spans="1:11" x14ac:dyDescent="0.3">
      <c r="A2" t="s">
        <v>1</v>
      </c>
      <c r="B2">
        <v>4.96</v>
      </c>
      <c r="C2">
        <v>7.2430000000000003</v>
      </c>
      <c r="D2" s="1">
        <v>12500</v>
      </c>
      <c r="E2" s="1">
        <v>18750</v>
      </c>
      <c r="F2" s="1">
        <f>E2-D2</f>
        <v>6250</v>
      </c>
      <c r="G2" s="2">
        <v>42027312</v>
      </c>
      <c r="H2" s="2">
        <v>45827328</v>
      </c>
      <c r="I2" s="2">
        <f>Tabella1[[#This Row],[Memoria dopo (byte)]]-Tabella1[[#This Row],[Memoria prima (byte)]]</f>
        <v>3800016</v>
      </c>
      <c r="J2" s="3">
        <v>17596</v>
      </c>
      <c r="K2" s="2">
        <v>51408</v>
      </c>
    </row>
    <row r="3" spans="1:11" x14ac:dyDescent="0.3">
      <c r="A3" t="s">
        <v>2</v>
      </c>
      <c r="B3">
        <v>4.96</v>
      </c>
      <c r="C3">
        <v>9.1479999999999997</v>
      </c>
      <c r="D3" s="1">
        <v>10937.5</v>
      </c>
      <c r="E3" s="1">
        <v>29687</v>
      </c>
      <c r="F3" s="1">
        <f t="shared" ref="F3:F5" si="0">E3-D3</f>
        <v>18749.5</v>
      </c>
      <c r="G3" s="2">
        <v>39610632</v>
      </c>
      <c r="H3" s="2">
        <v>48887200</v>
      </c>
      <c r="I3" s="2">
        <f>Tabella1[[#This Row],[Memoria dopo (byte)]]-Tabella1[[#This Row],[Memoria prima (byte)]]</f>
        <v>9276568</v>
      </c>
      <c r="J3" s="3">
        <v>17596</v>
      </c>
      <c r="K3" s="2">
        <v>51408</v>
      </c>
    </row>
    <row r="4" spans="1:11" x14ac:dyDescent="0.3">
      <c r="A4" t="s">
        <v>7</v>
      </c>
      <c r="B4">
        <v>4.59</v>
      </c>
      <c r="C4">
        <v>6.4</v>
      </c>
      <c r="D4" s="1">
        <v>14062.5</v>
      </c>
      <c r="E4" s="1">
        <v>17187</v>
      </c>
      <c r="F4" s="1">
        <f t="shared" si="0"/>
        <v>3124.5</v>
      </c>
      <c r="G4" s="2">
        <v>54733923</v>
      </c>
      <c r="H4" s="2">
        <v>55666844</v>
      </c>
      <c r="I4" s="2">
        <f>Tabella1[[#This Row],[Memoria dopo (byte)]]-Tabella1[[#This Row],[Memoria prima (byte)]]</f>
        <v>932921</v>
      </c>
      <c r="J4" s="3">
        <v>17596</v>
      </c>
      <c r="K4" s="2">
        <v>14</v>
      </c>
    </row>
    <row r="5" spans="1:11" x14ac:dyDescent="0.3">
      <c r="A5" t="s">
        <v>8</v>
      </c>
      <c r="B5">
        <v>4.59</v>
      </c>
      <c r="C5">
        <v>6.9</v>
      </c>
      <c r="D5" s="1">
        <v>10937</v>
      </c>
      <c r="E5" s="1">
        <v>25000</v>
      </c>
      <c r="F5" s="1">
        <f t="shared" si="0"/>
        <v>14063</v>
      </c>
      <c r="G5" s="2">
        <v>23132962</v>
      </c>
      <c r="H5" s="2">
        <v>24002871</v>
      </c>
      <c r="I5" s="2">
        <f>Tabella1[[#This Row],[Memoria dopo (byte)]]-Tabella1[[#This Row],[Memoria prima (byte)]]</f>
        <v>869909</v>
      </c>
      <c r="J5" s="3">
        <v>17596</v>
      </c>
      <c r="K5" s="2">
        <v>14</v>
      </c>
    </row>
    <row r="6" spans="1:11" x14ac:dyDescent="0.3">
      <c r="A6" t="s">
        <v>9</v>
      </c>
      <c r="B6">
        <v>3</v>
      </c>
      <c r="C6">
        <v>6.45</v>
      </c>
      <c r="D6" s="1">
        <v>18750</v>
      </c>
      <c r="E6" s="1">
        <v>31250</v>
      </c>
      <c r="F6" s="1">
        <f>E6-D6</f>
        <v>12500</v>
      </c>
      <c r="G6" s="2">
        <v>50840216</v>
      </c>
      <c r="H6" s="2">
        <v>53709496</v>
      </c>
      <c r="I6" s="2">
        <f>Tabella1[[#This Row],[Memoria dopo (byte)]]-Tabella1[[#This Row],[Memoria prima (byte)]]</f>
        <v>2869280</v>
      </c>
      <c r="J6" s="3">
        <v>17596</v>
      </c>
      <c r="K6" s="2">
        <v>14</v>
      </c>
    </row>
    <row r="7" spans="1:11" x14ac:dyDescent="0.3">
      <c r="A7" t="s">
        <v>10</v>
      </c>
      <c r="B7">
        <v>3</v>
      </c>
      <c r="C7">
        <v>8.77</v>
      </c>
      <c r="D7" s="1">
        <v>14062</v>
      </c>
      <c r="E7" s="1">
        <v>26562</v>
      </c>
      <c r="F7" s="1">
        <f t="shared" ref="F7:F10" si="1">E7-D7</f>
        <v>12500</v>
      </c>
      <c r="G7" s="2">
        <v>33418752</v>
      </c>
      <c r="H7" s="2">
        <v>41809816</v>
      </c>
      <c r="I7" s="2">
        <f>Tabella1[[#This Row],[Memoria dopo (byte)]]-Tabella1[[#This Row],[Memoria prima (byte)]]</f>
        <v>8391064</v>
      </c>
      <c r="J7" s="3">
        <v>17596</v>
      </c>
      <c r="K7" s="2">
        <v>14</v>
      </c>
    </row>
    <row r="8" spans="1:11" x14ac:dyDescent="0.3">
      <c r="A8" t="s">
        <v>11</v>
      </c>
      <c r="B8">
        <v>6.67</v>
      </c>
      <c r="C8">
        <v>6.5</v>
      </c>
      <c r="D8" s="1">
        <v>14062</v>
      </c>
      <c r="E8" s="1">
        <v>23437</v>
      </c>
      <c r="F8" s="1">
        <f t="shared" si="1"/>
        <v>9375</v>
      </c>
      <c r="G8" s="2">
        <v>29451504</v>
      </c>
      <c r="H8" s="2">
        <v>36827600</v>
      </c>
      <c r="I8" s="2">
        <f>Tabella1[[#This Row],[Memoria dopo (byte)]]-Tabella1[[#This Row],[Memoria prima (byte)]]</f>
        <v>7376096</v>
      </c>
      <c r="J8" s="3">
        <v>17596</v>
      </c>
      <c r="K8" s="2">
        <v>51408</v>
      </c>
    </row>
    <row r="9" spans="1:11" x14ac:dyDescent="0.3">
      <c r="A9" t="s">
        <v>12</v>
      </c>
      <c r="B9">
        <v>6.67</v>
      </c>
      <c r="C9">
        <v>7.6340000000000003</v>
      </c>
      <c r="D9" s="1">
        <v>14062</v>
      </c>
      <c r="E9" s="1">
        <v>26562</v>
      </c>
      <c r="F9" s="1">
        <f t="shared" si="1"/>
        <v>12500</v>
      </c>
      <c r="G9" s="2">
        <v>26235744</v>
      </c>
      <c r="H9" s="2">
        <v>40915800</v>
      </c>
      <c r="I9" s="2">
        <f>Tabella1[[#This Row],[Memoria dopo (byte)]]-Tabella1[[#This Row],[Memoria prima (byte)]]</f>
        <v>14680056</v>
      </c>
      <c r="J9" s="3">
        <v>17596</v>
      </c>
      <c r="K9" s="2">
        <v>51408</v>
      </c>
    </row>
    <row r="10" spans="1:11" x14ac:dyDescent="0.3">
      <c r="A10" t="s">
        <v>19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s="2" t="s">
        <v>20</v>
      </c>
      <c r="J10" s="4">
        <v>43.323999999999998</v>
      </c>
      <c r="K10" s="2">
        <v>475000</v>
      </c>
    </row>
    <row r="11" spans="1:11" x14ac:dyDescent="0.3">
      <c r="A11" t="s">
        <v>18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s="2" t="s">
        <v>20</v>
      </c>
      <c r="J11" s="4">
        <v>42.1</v>
      </c>
      <c r="K11" s="2">
        <v>742000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Faccioli</dc:creator>
  <cp:lastModifiedBy>Antonio Faccioli</cp:lastModifiedBy>
  <dcterms:created xsi:type="dcterms:W3CDTF">2025-08-05T14:26:35Z</dcterms:created>
  <dcterms:modified xsi:type="dcterms:W3CDTF">2025-08-06T15:24:07Z</dcterms:modified>
</cp:coreProperties>
</file>